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lavi\Desktop\"/>
    </mc:Choice>
  </mc:AlternateContent>
  <xr:revisionPtr revIDLastSave="0" documentId="8_{3A6E562D-7259-43E1-BB9E-15C72B275071}" xr6:coauthVersionLast="47" xr6:coauthVersionMax="47" xr10:uidLastSave="{00000000-0000-0000-0000-000000000000}"/>
  <bookViews>
    <workbookView xWindow="-108" yWindow="-108" windowWidth="23256" windowHeight="12456" xr2:uid="{FDC69A27-19FD-4966-8CBF-87C93C174141}"/>
  </bookViews>
  <sheets>
    <sheet name="Política_Sócios_01012025" sheetId="1" r:id="rId1"/>
  </sheets>
  <definedNames>
    <definedName name="_xlnm.Print_Area" localSheetId="0">Política_Sócios_01012025!$A$1:$I$34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N8" i="1" l="1"/>
  <c r="O8" i="1"/>
  <c r="N9" i="1"/>
  <c r="O9" i="1"/>
  <c r="N10" i="1"/>
  <c r="O10" i="1"/>
</calcChain>
</file>

<file path=xl/sharedStrings.xml><?xml version="1.0" encoding="utf-8"?>
<sst xmlns="http://schemas.openxmlformats.org/spreadsheetml/2006/main" count="137" uniqueCount="66">
  <si>
    <t>* O médico cooperado recebe o pagamento e é realizado um encontro de contas com a Clínica.</t>
  </si>
  <si>
    <t>N/A</t>
  </si>
  <si>
    <t>Valor Fixo</t>
  </si>
  <si>
    <t>Particular</t>
  </si>
  <si>
    <t>Cola Orgânica</t>
  </si>
  <si>
    <t>Una MFA5</t>
  </si>
  <si>
    <t>SA60AT</t>
  </si>
  <si>
    <t>Esférica</t>
  </si>
  <si>
    <t>Asférica</t>
  </si>
  <si>
    <t>Tórica</t>
  </si>
  <si>
    <t>Bifocal</t>
  </si>
  <si>
    <t>Monofocal Plus</t>
  </si>
  <si>
    <t>Monofocal Plus Tórica</t>
  </si>
  <si>
    <t>Foco Estendido</t>
  </si>
  <si>
    <t>Foco Estendido Tórica</t>
  </si>
  <si>
    <t>Trifocal</t>
  </si>
  <si>
    <t>Caso haja aplicação de desconto comercial na negociação, o percentual de desconto concedido para converter o orçamento também será aplicado ao montante repassado.</t>
  </si>
  <si>
    <t>Trifocal Tórica</t>
  </si>
  <si>
    <t>LIO</t>
  </si>
  <si>
    <t>A tabela da Humana foi baseada no valor líquido que o médico recebe da Unimed.</t>
  </si>
  <si>
    <t>Não se aplica</t>
  </si>
  <si>
    <t>Tabela Humana</t>
  </si>
  <si>
    <t>Humana</t>
  </si>
  <si>
    <t>Honorário</t>
  </si>
  <si>
    <t>-</t>
  </si>
  <si>
    <t>[preço honorário - impostos - taxas] x % de repasse</t>
  </si>
  <si>
    <t>Receita Líquida</t>
  </si>
  <si>
    <t>Unimed</t>
  </si>
  <si>
    <t>Impostos correspondem a 11,73%.</t>
  </si>
  <si>
    <t>[preço honorário - impostos] x % de repasse</t>
  </si>
  <si>
    <t>Convênios</t>
  </si>
  <si>
    <t>Taxa cartão varia cfme. forma de pgto. e os impostos correspondem a 11,73%.</t>
  </si>
  <si>
    <t>[preço honorário - impostos - taxa cartão] x % de repasse</t>
  </si>
  <si>
    <r>
      <t xml:space="preserve">Cirurgia </t>
    </r>
    <r>
      <rPr>
        <i/>
        <sz val="11"/>
        <color theme="1"/>
        <rFont val="Calibri"/>
        <family val="2"/>
      </rPr>
      <t>(honorário)</t>
    </r>
  </si>
  <si>
    <t>preço de venda da lente x % de repasse</t>
  </si>
  <si>
    <t>Receita Bruta</t>
  </si>
  <si>
    <t>Rígidas e Gelatinosas</t>
  </si>
  <si>
    <t>Lente de contato</t>
  </si>
  <si>
    <t>Não gera repasse.</t>
  </si>
  <si>
    <t>Honorário + Taxa</t>
  </si>
  <si>
    <t>Impostos correspondem a 27,5% e taxas correspondem a 2,50%.</t>
  </si>
  <si>
    <t>[preço exame - impostos - taxas] x % de repasse</t>
  </si>
  <si>
    <t>Unimed*</t>
  </si>
  <si>
    <t>[preço exame - impostos] x % de repasse</t>
  </si>
  <si>
    <t>[preço exame - impostos - taxa cartão] x % de repasse</t>
  </si>
  <si>
    <t>Exames realizados por técnico</t>
  </si>
  <si>
    <t>TOTAL</t>
  </si>
  <si>
    <t>CSLL</t>
  </si>
  <si>
    <t>IRPJ</t>
  </si>
  <si>
    <t>Exames realizados por médico</t>
  </si>
  <si>
    <t>PIS</t>
  </si>
  <si>
    <t>[preço consulta - impostos - taxas] x % de repasse</t>
  </si>
  <si>
    <t>ISS</t>
  </si>
  <si>
    <t>Impostos correspondem a 16,33%.</t>
  </si>
  <si>
    <t>[preço consulta - impostos] x % de repasse</t>
  </si>
  <si>
    <t>Taxa cartão varia cfme. forma de pgto. e os impostos correspondem a 16,33%.</t>
  </si>
  <si>
    <t>[preço consulta - impostos - taxa cartão] x % de repasse</t>
  </si>
  <si>
    <t>Consulta</t>
  </si>
  <si>
    <t>Observação</t>
  </si>
  <si>
    <t>Equação</t>
  </si>
  <si>
    <t>Base de Cálculo</t>
  </si>
  <si>
    <t>Repasse</t>
  </si>
  <si>
    <t>Convênio</t>
  </si>
  <si>
    <t>Tipo</t>
  </si>
  <si>
    <t>Grupo</t>
  </si>
  <si>
    <t>POLÍTICA DE DISTRIBUIÇÃO DE LUCROS (REPASSE)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</si>
</sst>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R$&quot;\ #,##0.00;[Red]\-&quot;R$&quot;\ #,##0.00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0"/>
      <name val="Calibri"/>
      <family val="2"/>
    </font>
    <font>
      <b/>
      <sz val="11"/>
      <color theme="1"/>
      <name val="Calibri"/>
      <family val="2"/>
    </font>
    <font>
      <sz val="11"/>
      <color theme="1"/>
      <name val="Aptos Narrow"/>
      <family val="2"/>
      <scheme val="minor"/>
    </font>
    <font>
      <i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7" tint="-0.249977111117893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rgb="FF44B3E1"/>
      </bottom>
      <diagonal/>
    </border>
    <border>
      <left/>
      <right/>
      <top style="thin">
        <color theme="4" tint="0.39997558519241921"/>
      </top>
      <bottom style="thin">
        <color rgb="FF44B3E1"/>
      </bottom>
      <diagonal/>
    </border>
    <border>
      <left/>
      <right/>
      <top style="thin">
        <color rgb="FF44B3E1"/>
      </top>
      <bottom style="thin">
        <color rgb="FF44B3E1"/>
      </bottom>
      <diagonal/>
    </border>
    <border>
      <left/>
      <right/>
      <top/>
      <bottom style="thin">
        <color theme="4" tint="0.39994506668294322"/>
      </bottom>
      <diagonal/>
    </border>
    <border>
      <left/>
      <right/>
      <top style="thin">
        <color rgb="FF44B3E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9" fontId="4" fillId="0" borderId="0" applyFont="0" applyFill="0" applyBorder="0" applyAlignment="0" applyProtection="0"/>
  </cellStyleXfs>
  <cellXfs count="35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left" vertical="center" wrapText="1"/>
    </xf>
    <xf numFmtId="10" fontId="1" fillId="0" borderId="2" xfId="1" applyNumberFormat="1" applyFont="1" applyFill="1" applyBorder="1" applyAlignment="1">
      <alignment horizontal="center" vertical="center" wrapText="1"/>
    </xf>
    <xf numFmtId="0" fontId="1" fillId="0" borderId="3" xfId="0" applyFont="1" applyBorder="1" applyAlignment="1">
      <alignment vertical="center"/>
    </xf>
    <xf numFmtId="40" fontId="1" fillId="0" borderId="3" xfId="0" applyNumberFormat="1" applyFont="1" applyBorder="1"/>
    <xf numFmtId="10" fontId="1" fillId="0" borderId="2" xfId="1" applyNumberFormat="1" applyFont="1" applyFill="1" applyBorder="1" applyAlignment="1">
      <alignment vertical="center"/>
    </xf>
    <xf numFmtId="0" fontId="1" fillId="0" borderId="0" xfId="0" applyFont="1" applyAlignment="1">
      <alignment horizontal="left" vertical="center" wrapText="1"/>
    </xf>
    <xf numFmtId="0" fontId="1" fillId="0" borderId="1" xfId="0" applyFont="1" applyBorder="1" applyAlignment="1">
      <alignment horizontal="center" vertical="center"/>
    </xf>
    <xf numFmtId="10" fontId="1" fillId="0" borderId="1" xfId="1" applyNumberFormat="1" applyFont="1" applyFill="1" applyBorder="1" applyAlignment="1">
      <alignment horizontal="left" vertical="center"/>
    </xf>
    <xf numFmtId="0" fontId="1" fillId="0" borderId="3" xfId="0" applyFont="1" applyBorder="1"/>
    <xf numFmtId="10" fontId="1" fillId="0" borderId="4" xfId="1" applyNumberFormat="1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10" fontId="1" fillId="0" borderId="0" xfId="1" applyNumberFormat="1" applyFont="1" applyFill="1" applyBorder="1" applyAlignment="1">
      <alignment horizontal="left" vertical="center"/>
    </xf>
    <xf numFmtId="10" fontId="1" fillId="0" borderId="0" xfId="1" applyNumberFormat="1" applyFont="1" applyFill="1" applyBorder="1" applyAlignment="1">
      <alignment horizontal="center" vertical="center"/>
    </xf>
    <xf numFmtId="0" fontId="1" fillId="0" borderId="5" xfId="0" applyFont="1" applyBorder="1" applyAlignment="1">
      <alignment horizontal="left" vertical="center" wrapText="1"/>
    </xf>
    <xf numFmtId="0" fontId="1" fillId="0" borderId="5" xfId="0" applyFont="1" applyBorder="1" applyAlignment="1">
      <alignment horizontal="center" vertical="center"/>
    </xf>
    <xf numFmtId="10" fontId="1" fillId="0" borderId="5" xfId="1" applyNumberFormat="1" applyFont="1" applyFill="1" applyBorder="1" applyAlignment="1">
      <alignment horizontal="left" vertical="center"/>
    </xf>
    <xf numFmtId="10" fontId="1" fillId="0" borderId="6" xfId="1" applyNumberFormat="1" applyFont="1" applyFill="1" applyBorder="1" applyAlignment="1">
      <alignment horizontal="center" vertical="center"/>
    </xf>
    <xf numFmtId="10" fontId="1" fillId="0" borderId="1" xfId="1" applyNumberFormat="1" applyFont="1" applyFill="1" applyBorder="1" applyAlignment="1">
      <alignment horizontal="left" vertical="center"/>
    </xf>
    <xf numFmtId="9" fontId="1" fillId="0" borderId="3" xfId="0" applyNumberFormat="1" applyFont="1" applyBorder="1"/>
    <xf numFmtId="0" fontId="1" fillId="0" borderId="7" xfId="0" applyFont="1" applyBorder="1" applyAlignment="1">
      <alignment horizontal="center" vertical="center" wrapText="1"/>
    </xf>
    <xf numFmtId="10" fontId="1" fillId="0" borderId="3" xfId="1" applyNumberFormat="1" applyFont="1" applyFill="1" applyBorder="1"/>
    <xf numFmtId="0" fontId="1" fillId="0" borderId="0" xfId="0" applyFont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10" fontId="1" fillId="0" borderId="6" xfId="1" applyNumberFormat="1" applyFont="1" applyFill="1" applyBorder="1" applyAlignment="1">
      <alignment vertical="center" wrapText="1"/>
    </xf>
    <xf numFmtId="9" fontId="1" fillId="0" borderId="3" xfId="0" applyNumberFormat="1" applyFont="1" applyBorder="1" applyAlignment="1">
      <alignment vertical="center"/>
    </xf>
    <xf numFmtId="10" fontId="1" fillId="0" borderId="6" xfId="1" applyNumberFormat="1" applyFont="1" applyFill="1" applyBorder="1" applyAlignment="1">
      <alignment vertical="center"/>
    </xf>
    <xf numFmtId="0" fontId="1" fillId="0" borderId="1" xfId="0" applyFont="1" applyBorder="1" applyAlignment="1">
      <alignment horizontal="center" vertical="center" wrapText="1"/>
    </xf>
    <xf numFmtId="9" fontId="1" fillId="0" borderId="1" xfId="0" applyNumberFormat="1" applyFont="1" applyBorder="1" applyAlignment="1">
      <alignment horizontal="right" vertical="center"/>
    </xf>
    <xf numFmtId="0" fontId="1" fillId="0" borderId="1" xfId="0" applyFont="1" applyBorder="1" applyAlignment="1">
      <alignment horizontal="left" vertical="center"/>
    </xf>
    <xf numFmtId="10" fontId="1" fillId="0" borderId="0" xfId="1" applyNumberFormat="1" applyFont="1"/>
    <xf numFmtId="8" fontId="1" fillId="0" borderId="1" xfId="0" applyNumberFormat="1" applyFont="1" applyBorder="1" applyAlignment="1">
      <alignment horizontal="right" vertical="center"/>
    </xf>
    <xf numFmtId="0" fontId="2" fillId="2" borderId="8" xfId="0" applyFont="1" applyFill="1" applyBorder="1"/>
    <xf numFmtId="0" fontId="3" fillId="0" borderId="0" xfId="0" applyFont="1"/>
  </cellXfs>
  <cellStyles count="2">
    <cellStyle name="Normal" xfId="0" builtinId="0"/>
    <cellStyle name="Porcentagem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47E4DB-5804-479C-92B1-D94ED3F800FF}">
  <sheetPr>
    <pageSetUpPr fitToPage="1"/>
  </sheetPr>
  <dimension ref="B1:O34"/>
  <sheetViews>
    <sheetView showGridLines="0" tabSelected="1" zoomScale="110" zoomScaleNormal="110" workbookViewId="0">
      <pane ySplit="3" topLeftCell="A4" activePane="bottomLeft" state="frozen"/>
      <selection pane="bottomLeft" activeCell="B21" sqref="B21:B32"/>
    </sheetView>
  </sheetViews>
  <sheetFormatPr defaultRowHeight="14.4" x14ac:dyDescent="0.3"/>
  <cols>
    <col min="1" max="1" width="0.88671875" style="1" customWidth="1"/>
    <col min="2" max="2" width="15" style="1" customWidth="1"/>
    <col min="3" max="3" width="19.77734375" style="1" customWidth="1"/>
    <col min="4" max="4" width="16.33203125" style="1" customWidth="1"/>
    <col min="5" max="5" width="8.88671875" style="1"/>
    <col min="6" max="6" width="14.21875" style="1" bestFit="1" customWidth="1"/>
    <col min="7" max="7" width="49.88671875" style="1" customWidth="1"/>
    <col min="8" max="8" width="71.5546875" style="1" customWidth="1"/>
    <col min="9" max="9" width="0.88671875" style="1" customWidth="1"/>
    <col min="10" max="16384" width="8.88671875" style="1"/>
  </cols>
  <sheetData>
    <row r="1" spans="2:15" x14ac:dyDescent="0.3">
      <c r="B1" s="34" t="s">
        <v>65</v>
      </c>
    </row>
    <row r="2" spans="2:15" ht="4.5" customHeight="1" x14ac:dyDescent="0.3"/>
    <row r="3" spans="2:15" x14ac:dyDescent="0.3">
      <c r="B3" s="33" t="s">
        <v>64</v>
      </c>
      <c r="C3" s="33" t="s">
        <v>63</v>
      </c>
      <c r="D3" s="33" t="s">
        <v>62</v>
      </c>
      <c r="E3" s="33" t="s">
        <v>61</v>
      </c>
      <c r="F3" s="33" t="s">
        <v>60</v>
      </c>
      <c r="G3" s="33" t="s">
        <v>59</v>
      </c>
      <c r="H3" s="33" t="s">
        <v>58</v>
      </c>
    </row>
    <row r="4" spans="2:15" x14ac:dyDescent="0.3">
      <c r="B4" s="16" t="s">
        <v>57</v>
      </c>
      <c r="C4" s="10" t="s">
        <v>23</v>
      </c>
      <c r="D4" s="10" t="s">
        <v>3</v>
      </c>
      <c r="E4" s="20">
        <v>0.6</v>
      </c>
      <c r="F4" s="22" t="s">
        <v>26</v>
      </c>
      <c r="G4" s="22" t="s">
        <v>56</v>
      </c>
      <c r="H4" s="10" t="s">
        <v>55</v>
      </c>
    </row>
    <row r="5" spans="2:15" x14ac:dyDescent="0.3">
      <c r="B5" s="12"/>
      <c r="C5" s="10" t="s">
        <v>23</v>
      </c>
      <c r="D5" s="10" t="s">
        <v>30</v>
      </c>
      <c r="E5" s="20">
        <v>0.6</v>
      </c>
      <c r="F5" s="22" t="s">
        <v>26</v>
      </c>
      <c r="G5" s="22" t="s">
        <v>54</v>
      </c>
      <c r="H5" s="10" t="s">
        <v>53</v>
      </c>
      <c r="M5" s="1" t="s">
        <v>52</v>
      </c>
      <c r="N5" s="31">
        <v>0.05</v>
      </c>
      <c r="O5" s="31">
        <v>0.05</v>
      </c>
    </row>
    <row r="6" spans="2:15" x14ac:dyDescent="0.3">
      <c r="B6" s="12"/>
      <c r="C6" s="10" t="s">
        <v>23</v>
      </c>
      <c r="D6" s="10" t="s">
        <v>42</v>
      </c>
      <c r="E6" s="20">
        <v>0.6</v>
      </c>
      <c r="F6" s="22" t="s">
        <v>26</v>
      </c>
      <c r="G6" s="22" t="s">
        <v>51</v>
      </c>
      <c r="H6" s="10" t="s">
        <v>40</v>
      </c>
      <c r="M6" s="1" t="s">
        <v>50</v>
      </c>
      <c r="N6" s="31">
        <v>6.4999999999999997E-3</v>
      </c>
      <c r="O6" s="31">
        <v>6.4999999999999997E-3</v>
      </c>
    </row>
    <row r="7" spans="2:15" x14ac:dyDescent="0.3">
      <c r="B7" s="8"/>
      <c r="C7" s="30" t="s">
        <v>23</v>
      </c>
      <c r="D7" s="30" t="s">
        <v>22</v>
      </c>
      <c r="E7" s="32">
        <v>35</v>
      </c>
      <c r="F7" s="19" t="s">
        <v>2</v>
      </c>
      <c r="G7" s="19" t="s">
        <v>20</v>
      </c>
      <c r="H7" s="10" t="s">
        <v>24</v>
      </c>
      <c r="N7" s="31"/>
      <c r="O7" s="31"/>
    </row>
    <row r="8" spans="2:15" ht="14.4" customHeight="1" x14ac:dyDescent="0.3">
      <c r="B8" s="24" t="s">
        <v>49</v>
      </c>
      <c r="C8" s="10" t="s">
        <v>39</v>
      </c>
      <c r="D8" s="10" t="s">
        <v>3</v>
      </c>
      <c r="E8" s="20">
        <v>0.5</v>
      </c>
      <c r="F8" s="22" t="s">
        <v>26</v>
      </c>
      <c r="G8" s="22" t="s">
        <v>44</v>
      </c>
      <c r="H8" s="10" t="s">
        <v>31</v>
      </c>
      <c r="M8" s="1" t="s">
        <v>48</v>
      </c>
      <c r="N8" s="31">
        <f>100%*8%*25%</f>
        <v>0.02</v>
      </c>
      <c r="O8" s="31">
        <f>100%*32%*15%</f>
        <v>4.8000000000000001E-2</v>
      </c>
    </row>
    <row r="9" spans="2:15" x14ac:dyDescent="0.3">
      <c r="B9" s="23"/>
      <c r="C9" s="10" t="s">
        <v>39</v>
      </c>
      <c r="D9" s="10" t="s">
        <v>30</v>
      </c>
      <c r="E9" s="20">
        <v>0.5</v>
      </c>
      <c r="F9" s="22" t="s">
        <v>26</v>
      </c>
      <c r="G9" s="22" t="s">
        <v>43</v>
      </c>
      <c r="H9" s="10" t="s">
        <v>28</v>
      </c>
      <c r="M9" s="1" t="s">
        <v>47</v>
      </c>
      <c r="N9" s="31">
        <f>100%*12%*9%</f>
        <v>1.0799999999999999E-2</v>
      </c>
      <c r="O9" s="31">
        <f>100%*32%*9%</f>
        <v>2.8799999999999999E-2</v>
      </c>
    </row>
    <row r="10" spans="2:15" x14ac:dyDescent="0.3">
      <c r="B10" s="23"/>
      <c r="C10" s="10" t="s">
        <v>39</v>
      </c>
      <c r="D10" s="10" t="s">
        <v>42</v>
      </c>
      <c r="E10" s="20">
        <v>0.5</v>
      </c>
      <c r="F10" s="22" t="s">
        <v>26</v>
      </c>
      <c r="G10" s="22" t="s">
        <v>41</v>
      </c>
      <c r="H10" s="10" t="s">
        <v>40</v>
      </c>
      <c r="M10" s="1" t="s">
        <v>46</v>
      </c>
      <c r="N10" s="31">
        <f>SUM(N5:N9)</f>
        <v>8.7300000000000003E-2</v>
      </c>
      <c r="O10" s="31">
        <f>SUM(O5:O9)</f>
        <v>0.1333</v>
      </c>
    </row>
    <row r="11" spans="2:15" x14ac:dyDescent="0.3">
      <c r="B11" s="28"/>
      <c r="C11" s="30" t="s">
        <v>39</v>
      </c>
      <c r="D11" s="30" t="s">
        <v>22</v>
      </c>
      <c r="E11" s="29"/>
      <c r="F11" s="19" t="s">
        <v>21</v>
      </c>
      <c r="G11" s="19" t="s">
        <v>20</v>
      </c>
      <c r="H11" s="10" t="s">
        <v>19</v>
      </c>
    </row>
    <row r="12" spans="2:15" x14ac:dyDescent="0.3">
      <c r="B12" s="24" t="s">
        <v>45</v>
      </c>
      <c r="C12" s="10" t="s">
        <v>39</v>
      </c>
      <c r="D12" s="10" t="s">
        <v>3</v>
      </c>
      <c r="E12" s="20">
        <v>0.25</v>
      </c>
      <c r="F12" s="22" t="s">
        <v>26</v>
      </c>
      <c r="G12" s="22" t="s">
        <v>44</v>
      </c>
      <c r="H12" s="10" t="s">
        <v>31</v>
      </c>
    </row>
    <row r="13" spans="2:15" x14ac:dyDescent="0.3">
      <c r="B13" s="23"/>
      <c r="C13" s="10" t="s">
        <v>39</v>
      </c>
      <c r="D13" s="10" t="s">
        <v>30</v>
      </c>
      <c r="E13" s="20">
        <v>0.25</v>
      </c>
      <c r="F13" s="22" t="s">
        <v>26</v>
      </c>
      <c r="G13" s="22" t="s">
        <v>43</v>
      </c>
      <c r="H13" s="10" t="s">
        <v>28</v>
      </c>
    </row>
    <row r="14" spans="2:15" x14ac:dyDescent="0.3">
      <c r="B14" s="23"/>
      <c r="C14" s="10" t="s">
        <v>39</v>
      </c>
      <c r="D14" s="10" t="s">
        <v>42</v>
      </c>
      <c r="E14" s="20">
        <v>0.25</v>
      </c>
      <c r="F14" s="22" t="s">
        <v>26</v>
      </c>
      <c r="G14" s="22" t="s">
        <v>41</v>
      </c>
      <c r="H14" s="10" t="s">
        <v>40</v>
      </c>
    </row>
    <row r="15" spans="2:15" ht="13.8" customHeight="1" x14ac:dyDescent="0.3">
      <c r="B15" s="28"/>
      <c r="C15" s="10" t="s">
        <v>39</v>
      </c>
      <c r="D15" s="10" t="s">
        <v>22</v>
      </c>
      <c r="E15" s="10">
        <v>0</v>
      </c>
      <c r="F15" s="10" t="s">
        <v>1</v>
      </c>
      <c r="G15" s="10" t="s">
        <v>20</v>
      </c>
      <c r="H15" s="10" t="s">
        <v>38</v>
      </c>
    </row>
    <row r="16" spans="2:15" x14ac:dyDescent="0.3">
      <c r="B16" s="4" t="s">
        <v>37</v>
      </c>
      <c r="C16" s="27" t="s">
        <v>36</v>
      </c>
      <c r="D16" s="4" t="s">
        <v>3</v>
      </c>
      <c r="E16" s="26">
        <v>0.2</v>
      </c>
      <c r="F16" s="4" t="s">
        <v>35</v>
      </c>
      <c r="G16" s="25" t="s">
        <v>34</v>
      </c>
      <c r="H16" s="4" t="s">
        <v>24</v>
      </c>
    </row>
    <row r="17" spans="2:8" ht="14.4" customHeight="1" x14ac:dyDescent="0.3">
      <c r="B17" s="24" t="s">
        <v>33</v>
      </c>
      <c r="C17" s="10" t="s">
        <v>23</v>
      </c>
      <c r="D17" s="10" t="s">
        <v>3</v>
      </c>
      <c r="E17" s="20">
        <v>1</v>
      </c>
      <c r="F17" s="22" t="s">
        <v>26</v>
      </c>
      <c r="G17" s="22" t="s">
        <v>32</v>
      </c>
      <c r="H17" s="10" t="s">
        <v>31</v>
      </c>
    </row>
    <row r="18" spans="2:8" x14ac:dyDescent="0.3">
      <c r="B18" s="23"/>
      <c r="C18" s="10" t="s">
        <v>23</v>
      </c>
      <c r="D18" s="10" t="s">
        <v>30</v>
      </c>
      <c r="E18" s="20">
        <v>1</v>
      </c>
      <c r="F18" s="22" t="s">
        <v>26</v>
      </c>
      <c r="G18" s="22" t="s">
        <v>29</v>
      </c>
      <c r="H18" s="10" t="s">
        <v>28</v>
      </c>
    </row>
    <row r="19" spans="2:8" x14ac:dyDescent="0.3">
      <c r="B19" s="23"/>
      <c r="C19" s="10" t="s">
        <v>23</v>
      </c>
      <c r="D19" s="10" t="s">
        <v>27</v>
      </c>
      <c r="E19" s="20">
        <v>0</v>
      </c>
      <c r="F19" s="22" t="s">
        <v>26</v>
      </c>
      <c r="G19" s="22" t="s">
        <v>25</v>
      </c>
      <c r="H19" s="10" t="s">
        <v>24</v>
      </c>
    </row>
    <row r="20" spans="2:8" x14ac:dyDescent="0.3">
      <c r="B20" s="21"/>
      <c r="C20" s="10" t="s">
        <v>23</v>
      </c>
      <c r="D20" s="10" t="s">
        <v>22</v>
      </c>
      <c r="E20" s="20"/>
      <c r="F20" s="19" t="s">
        <v>21</v>
      </c>
      <c r="G20" s="19" t="s">
        <v>20</v>
      </c>
      <c r="H20" s="10" t="s">
        <v>19</v>
      </c>
    </row>
    <row r="21" spans="2:8" ht="14.4" customHeight="1" x14ac:dyDescent="0.3">
      <c r="B21" s="18" t="s">
        <v>18</v>
      </c>
      <c r="C21" s="10" t="s">
        <v>17</v>
      </c>
      <c r="D21" s="10" t="s">
        <v>3</v>
      </c>
      <c r="E21" s="5">
        <v>1900</v>
      </c>
      <c r="F21" s="17" t="s">
        <v>2</v>
      </c>
      <c r="G21" s="16" t="s">
        <v>1</v>
      </c>
      <c r="H21" s="15" t="s">
        <v>16</v>
      </c>
    </row>
    <row r="22" spans="2:8" x14ac:dyDescent="0.3">
      <c r="B22" s="14"/>
      <c r="C22" s="10" t="s">
        <v>15</v>
      </c>
      <c r="D22" s="10" t="s">
        <v>3</v>
      </c>
      <c r="E22" s="5">
        <v>1700</v>
      </c>
      <c r="F22" s="13"/>
      <c r="G22" s="12"/>
      <c r="H22" s="7"/>
    </row>
    <row r="23" spans="2:8" x14ac:dyDescent="0.3">
      <c r="B23" s="14"/>
      <c r="C23" s="10" t="s">
        <v>14</v>
      </c>
      <c r="D23" s="10" t="s">
        <v>3</v>
      </c>
      <c r="E23" s="5">
        <v>1900</v>
      </c>
      <c r="F23" s="13"/>
      <c r="G23" s="12"/>
      <c r="H23" s="7"/>
    </row>
    <row r="24" spans="2:8" x14ac:dyDescent="0.3">
      <c r="B24" s="14"/>
      <c r="C24" s="10" t="s">
        <v>13</v>
      </c>
      <c r="D24" s="10" t="s">
        <v>3</v>
      </c>
      <c r="E24" s="5">
        <v>1700</v>
      </c>
      <c r="F24" s="13"/>
      <c r="G24" s="12"/>
      <c r="H24" s="7"/>
    </row>
    <row r="25" spans="2:8" x14ac:dyDescent="0.3">
      <c r="B25" s="14"/>
      <c r="C25" s="10" t="s">
        <v>12</v>
      </c>
      <c r="D25" s="10" t="s">
        <v>3</v>
      </c>
      <c r="E25" s="5">
        <v>1400</v>
      </c>
      <c r="F25" s="13"/>
      <c r="G25" s="12"/>
      <c r="H25" s="7"/>
    </row>
    <row r="26" spans="2:8" x14ac:dyDescent="0.3">
      <c r="B26" s="14"/>
      <c r="C26" s="10" t="s">
        <v>11</v>
      </c>
      <c r="D26" s="10" t="s">
        <v>3</v>
      </c>
      <c r="E26" s="5">
        <v>1400</v>
      </c>
      <c r="F26" s="13"/>
      <c r="G26" s="12"/>
      <c r="H26" s="7"/>
    </row>
    <row r="27" spans="2:8" x14ac:dyDescent="0.3">
      <c r="B27" s="14"/>
      <c r="C27" s="10" t="s">
        <v>10</v>
      </c>
      <c r="D27" s="10" t="s">
        <v>3</v>
      </c>
      <c r="E27" s="5">
        <v>1400</v>
      </c>
      <c r="F27" s="13"/>
      <c r="G27" s="12"/>
      <c r="H27" s="7"/>
    </row>
    <row r="28" spans="2:8" x14ac:dyDescent="0.3">
      <c r="B28" s="14"/>
      <c r="C28" s="10" t="s">
        <v>9</v>
      </c>
      <c r="D28" s="10" t="s">
        <v>3</v>
      </c>
      <c r="E28" s="5">
        <v>1400</v>
      </c>
      <c r="F28" s="13"/>
      <c r="G28" s="12"/>
      <c r="H28" s="7"/>
    </row>
    <row r="29" spans="2:8" x14ac:dyDescent="0.3">
      <c r="B29" s="14"/>
      <c r="C29" s="10" t="s">
        <v>8</v>
      </c>
      <c r="D29" s="10" t="s">
        <v>3</v>
      </c>
      <c r="E29" s="5">
        <v>1100</v>
      </c>
      <c r="F29" s="13"/>
      <c r="G29" s="12"/>
      <c r="H29" s="7"/>
    </row>
    <row r="30" spans="2:8" x14ac:dyDescent="0.3">
      <c r="B30" s="14"/>
      <c r="C30" s="10" t="s">
        <v>7</v>
      </c>
      <c r="D30" s="10" t="s">
        <v>3</v>
      </c>
      <c r="E30" s="5">
        <v>645</v>
      </c>
      <c r="F30" s="13"/>
      <c r="G30" s="12"/>
      <c r="H30" s="7"/>
    </row>
    <row r="31" spans="2:8" x14ac:dyDescent="0.3">
      <c r="B31" s="14"/>
      <c r="C31" s="10" t="s">
        <v>6</v>
      </c>
      <c r="D31" s="10" t="s">
        <v>3</v>
      </c>
      <c r="E31" s="5">
        <v>250</v>
      </c>
      <c r="F31" s="13"/>
      <c r="G31" s="12"/>
      <c r="H31" s="7"/>
    </row>
    <row r="32" spans="2:8" x14ac:dyDescent="0.3">
      <c r="B32" s="11"/>
      <c r="C32" s="10" t="s">
        <v>5</v>
      </c>
      <c r="D32" s="10" t="s">
        <v>3</v>
      </c>
      <c r="E32" s="5">
        <v>180</v>
      </c>
      <c r="F32" s="9"/>
      <c r="G32" s="8"/>
      <c r="H32" s="7"/>
    </row>
    <row r="33" spans="2:8" x14ac:dyDescent="0.3">
      <c r="B33" s="4" t="s">
        <v>4</v>
      </c>
      <c r="C33" s="6" t="s">
        <v>4</v>
      </c>
      <c r="D33" s="4" t="s">
        <v>3</v>
      </c>
      <c r="E33" s="5">
        <v>200</v>
      </c>
      <c r="F33" s="4" t="s">
        <v>2</v>
      </c>
      <c r="G33" s="3" t="s">
        <v>1</v>
      </c>
      <c r="H33" s="2"/>
    </row>
    <row r="34" spans="2:8" x14ac:dyDescent="0.3">
      <c r="B34" s="1" t="s">
        <v>0</v>
      </c>
    </row>
  </sheetData>
  <mergeCells count="8">
    <mergeCell ref="B8:B11"/>
    <mergeCell ref="B4:B7"/>
    <mergeCell ref="H21:H33"/>
    <mergeCell ref="B12:B15"/>
    <mergeCell ref="B21:B32"/>
    <mergeCell ref="F21:F32"/>
    <mergeCell ref="G21:G32"/>
    <mergeCell ref="B17:B20"/>
  </mergeCells>
  <pageMargins left="0.511811024" right="0.511811024" top="0.78740157499999996" bottom="0.78740157499999996" header="0.31496062000000002" footer="0.31496062000000002"/>
  <pageSetup paperSize="9" scale="72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Política_Sócios_01012025</vt:lpstr>
      <vt:lpstr>Política_Sócios_01012025!Area_de_impressao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Flávio Cortez</dc:creator>
  <cp:lastModifiedBy>Flávio Cortez</cp:lastModifiedBy>
  <dcterms:created xsi:type="dcterms:W3CDTF">2026-07-02T18:48:04Z</dcterms:created>
  <dcterms:modified xsi:type="dcterms:W3CDTF">2026-07-02T18:48:49Z</dcterms:modified>
</cp:coreProperties>
</file>